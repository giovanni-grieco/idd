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<sst xmlns="http://schemas.openxmlformats.org/spreadsheetml/2006/main" count="19" uniqueCount="19">
  <si>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TP</t>
  </si>
  <si>
    <t>FP</t>
  </si>
  <si>
    <t>FN</t>
  </si>
  <si>
    <t>TN</t>
  </si>
  <si>
    <t>Precision</t>
  </si>
  <si>
    <t>Recall</t>
  </si>
  <si>
    <t xml:space="preserve">F1 Score</t>
  </si>
  <si>
    <t>B1_TEST</t>
  </si>
  <si>
    <t>B2_TEST</t>
  </si>
  <si>
    <t>B1_ALL</t>
  </si>
  <si>
    <t>B2_ALL</t>
  </si>
  <si>
    <t>DITTO_B1_TEST</t>
  </si>
  <si>
    <t>DITTO_B2_TEST</t>
  </si>
  <si>
    <t>PIPELINE_DITTO_B1_TEST</t>
  </si>
  <si>
    <t>PIPELINE_DITTO_B2_TEST</t>
  </si>
  <si>
    <t>RECORDLINKAGE_B1_ALL</t>
  </si>
  <si>
    <t>RECORDLINKAGE_B2_ALL</t>
  </si>
  <si>
    <t>PIPELINE_RECORDLINKAGE_B1_ALL</t>
  </si>
  <si>
    <t>PIPELINE_RECORDLINKAGE_B2_ALL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</si>
</sst>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2" borderId="1" numFmtId="0" xfId="0" applyFill="1" applyBorder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5.140625"/>
  </cols>
  <sheetData>
    <row r="1" ht="14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ht="14.25">
      <c r="A2" t="s">
        <v>7</v>
      </c>
      <c r="B2">
        <v>1929</v>
      </c>
      <c r="C2">
        <v>15</v>
      </c>
      <c r="D2">
        <v>648</v>
      </c>
      <c r="E2">
        <v>2543</v>
      </c>
      <c r="F2">
        <f>(B2/(B2+C2))</f>
        <v>0.99228395061728392</v>
      </c>
      <c r="G2">
        <f>(B2/(B2+D2))</f>
        <v>0.7485448195576252</v>
      </c>
      <c r="H2">
        <f>(2*((F2*G2)/(F2+G2)))</f>
        <v>0.85335102853351019</v>
      </c>
    </row>
    <row r="3" ht="14.25">
      <c r="A3" t="s">
        <v>8</v>
      </c>
      <c r="B3">
        <v>2459</v>
      </c>
      <c r="C3">
        <v>31</v>
      </c>
      <c r="D3">
        <v>118</v>
      </c>
      <c r="E3">
        <v>2527</v>
      </c>
      <c r="F3">
        <f>(B3/(B3+C3))</f>
        <v>0.98755020080321287</v>
      </c>
      <c r="G3">
        <f>(B3/(B3+D3))</f>
        <v>0.95421032207993794</v>
      </c>
      <c r="H3">
        <f>(2*((F3*G3)/(F3+G3)))</f>
        <v>0.97059403986579829</v>
      </c>
    </row>
    <row r="4" ht="14.25">
      <c r="A4" t="s">
        <v>9</v>
      </c>
      <c r="B4">
        <v>3241</v>
      </c>
      <c r="C4">
        <v>32</v>
      </c>
      <c r="D4">
        <v>1081</v>
      </c>
      <c r="E4">
        <v>4163</v>
      </c>
      <c r="F4">
        <f>(B4/(B4+C4))</f>
        <v>0.99022303696914149</v>
      </c>
      <c r="G4">
        <f>(B4/(B4+D4))</f>
        <v>0.74988431281813972</v>
      </c>
      <c r="H4">
        <f>(2*((F4*G4)/(F4+G4)))</f>
        <v>0.85345622119815678</v>
      </c>
    </row>
    <row r="5" ht="14.25">
      <c r="A5" t="s">
        <v>10</v>
      </c>
      <c r="B5">
        <v>4135</v>
      </c>
      <c r="C5">
        <v>69</v>
      </c>
      <c r="D5">
        <v>187</v>
      </c>
      <c r="E5">
        <v>4126</v>
      </c>
      <c r="F5">
        <f>(B5/(B5+C5))</f>
        <v>0.98358705994291151</v>
      </c>
      <c r="G5">
        <f>(B5/(B5+D5))</f>
        <v>0.95673299398426659</v>
      </c>
      <c r="H5">
        <f>(2*((F5*G5)/(F5+G5)))</f>
        <v>0.9699741965751818</v>
      </c>
    </row>
    <row r="6" ht="14.25">
      <c r="A6" t="s">
        <v>11</v>
      </c>
      <c r="B6">
        <v>1817</v>
      </c>
      <c r="C6">
        <v>2</v>
      </c>
      <c r="D6">
        <v>112</v>
      </c>
      <c r="E6">
        <v>13</v>
      </c>
      <c r="F6">
        <f>(B6/(B6+C6))</f>
        <v>0.99890049477735021</v>
      </c>
      <c r="G6">
        <f>(B6/(B6+D6))</f>
        <v>0.94193882840850185</v>
      </c>
      <c r="H6">
        <f>(2*((F6*G6)/(F6+G6)))</f>
        <v>0.96958377801494133</v>
      </c>
    </row>
    <row r="7" ht="14.25">
      <c r="A7" t="s">
        <v>12</v>
      </c>
      <c r="B7">
        <v>2314</v>
      </c>
      <c r="C7">
        <v>7</v>
      </c>
      <c r="D7">
        <v>145</v>
      </c>
      <c r="E7">
        <v>24</v>
      </c>
      <c r="F7">
        <f>(B7/(B7+C7))</f>
        <v>0.99698405859543304</v>
      </c>
      <c r="G7">
        <f>(B7/(B7+D7))</f>
        <v>0.94103294021960149</v>
      </c>
      <c r="H7">
        <f>(2*((F7*G7)/(F7+G7)))</f>
        <v>0.96820083682008373</v>
      </c>
    </row>
    <row r="8" ht="14.25">
      <c r="A8" s="1" t="s">
        <v>13</v>
      </c>
      <c r="B8" s="1">
        <f>B6</f>
        <v>1817</v>
      </c>
      <c r="C8" s="1">
        <f>C6</f>
        <v>2</v>
      </c>
      <c r="D8" s="1">
        <f>D6+D2</f>
        <v>760</v>
      </c>
      <c r="E8" s="1">
        <f>E6+E2</f>
        <v>2556</v>
      </c>
      <c r="F8" s="1">
        <f>(B8/(B8+C8))</f>
        <v>0.99890049477735021</v>
      </c>
      <c r="G8" s="1">
        <f>(B8/(B8+D8))</f>
        <v>0.7050834303453628</v>
      </c>
      <c r="H8" s="1">
        <f>(2*((F8*G8)/(F8+G8)))</f>
        <v>0.8266606005459507</v>
      </c>
    </row>
    <row r="9" ht="14.25">
      <c r="A9" s="1" t="s">
        <v>14</v>
      </c>
      <c r="B9" s="1">
        <f>B7</f>
        <v>2314</v>
      </c>
      <c r="C9" s="1">
        <f>C7</f>
        <v>7</v>
      </c>
      <c r="D9" s="1">
        <f>D7+D3</f>
        <v>263</v>
      </c>
      <c r="E9" s="1">
        <f>E7+E3</f>
        <v>2551</v>
      </c>
      <c r="F9" s="1">
        <f>(B9/(B9+C9))</f>
        <v>0.99698405859543304</v>
      </c>
      <c r="G9" s="1">
        <f>(B9/(B9+D9))</f>
        <v>0.8979433449747769</v>
      </c>
      <c r="H9" s="1">
        <f>(2*((F9*G9)/(F9+G9)))</f>
        <v>0.9448754593711719</v>
      </c>
    </row>
    <row r="10" ht="14.25">
      <c r="A10" s="2" t="s">
        <v>15</v>
      </c>
      <c r="B10" s="2">
        <v>3050</v>
      </c>
      <c r="C10" s="2">
        <v>8</v>
      </c>
      <c r="D10" s="2">
        <v>191</v>
      </c>
      <c r="E10" s="2">
        <v>24</v>
      </c>
      <c r="F10" s="2">
        <f>(B10/(B10+C10))</f>
        <v>0.99738391105297575</v>
      </c>
      <c r="G10" s="2">
        <f>(B10/(B10+D10))</f>
        <v>0.94106757173711819</v>
      </c>
      <c r="H10" s="2">
        <f>(2*((F10*G10)/(F10+G10)))</f>
        <v>0.96840768375932684</v>
      </c>
    </row>
    <row r="11" ht="14.25">
      <c r="A11" s="2" t="s">
        <v>16</v>
      </c>
      <c r="B11" s="2">
        <v>3816</v>
      </c>
      <c r="C11" s="2">
        <v>8</v>
      </c>
      <c r="D11" s="2">
        <v>319</v>
      </c>
      <c r="E11" s="2">
        <v>61</v>
      </c>
      <c r="F11" s="2">
        <f>(B11/(B11+C11))</f>
        <v>0.997907949790795</v>
      </c>
      <c r="G11" s="2">
        <f>(B11/(B11+D11))</f>
        <v>0.92285368802902057</v>
      </c>
      <c r="H11" s="2">
        <f>(2*((F11*G11)/(F11+G11)))</f>
        <v>0.95891443648699592</v>
      </c>
    </row>
    <row r="12" ht="14.25">
      <c r="A12" s="1" t="s">
        <v>17</v>
      </c>
      <c r="B12" s="1">
        <f>B10</f>
        <v>3050</v>
      </c>
      <c r="C12" s="1">
        <f>C10</f>
        <v>8</v>
      </c>
      <c r="D12" s="1">
        <f>D10+D4</f>
        <v>1272</v>
      </c>
      <c r="E12" s="1">
        <f>E10+E4</f>
        <v>4187</v>
      </c>
      <c r="F12" s="1">
        <f>(B12/(B12+C12))</f>
        <v>0.99738391105297575</v>
      </c>
      <c r="G12" s="1">
        <f>(B12/(B12+D12))</f>
        <v>0.70569180934752429</v>
      </c>
      <c r="H12" s="1">
        <f>(2*((F12*G12)/(F12+G12)))</f>
        <v>0.82655826558265588</v>
      </c>
    </row>
    <row r="13" ht="14.25">
      <c r="A13" s="1" t="s">
        <v>18</v>
      </c>
      <c r="B13" s="1">
        <f>B11</f>
        <v>3816</v>
      </c>
      <c r="C13" s="1">
        <f>C11</f>
        <v>8</v>
      </c>
      <c r="D13" s="1">
        <f>D11+D5</f>
        <v>506</v>
      </c>
      <c r="E13" s="1">
        <f>E11+E5</f>
        <v>4187</v>
      </c>
      <c r="F13" s="1">
        <f>(B13/(B13+C13))</f>
        <v>0.997907949790795</v>
      </c>
      <c r="G13" s="1">
        <f>(B13/(B13+D13))</f>
        <v>0.88292457195742713</v>
      </c>
      <c r="H13" s="1">
        <f>(2*((F13*G13)/(F13+G13)))</f>
        <v>0.93690154677142146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2026-02-21T15:32:20Z</dcterms:modified>
</cp:coreProperties>
</file>